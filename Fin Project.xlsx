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<sst xmlns="http://schemas.openxmlformats.org/spreadsheetml/2006/main" count="67" uniqueCount="28">
  <si>
    <t>DATA TABLE</t>
  </si>
  <si>
    <t>INCOME ANALYSIS</t>
  </si>
  <si>
    <t>Position Table</t>
  </si>
  <si>
    <t>Transaction Table</t>
  </si>
  <si>
    <t>Income Table</t>
  </si>
  <si>
    <t>YTD Income</t>
  </si>
  <si>
    <t>Date</t>
  </si>
  <si>
    <t>Asset Class</t>
  </si>
  <si>
    <t>Market Value</t>
  </si>
  <si>
    <t>Cashflow</t>
  </si>
  <si>
    <t>Weighted CF</t>
  </si>
  <si>
    <t>Global Equities</t>
  </si>
  <si>
    <t>Gold</t>
  </si>
  <si>
    <t>Total Income</t>
  </si>
  <si>
    <t>Total Portfolio YTD Return</t>
  </si>
  <si>
    <t>Beg MV</t>
  </si>
  <si>
    <t>End MV</t>
  </si>
  <si>
    <t>Income</t>
  </si>
  <si>
    <t>YTD Return</t>
  </si>
  <si>
    <t>Performance table</t>
  </si>
  <si>
    <t>YTD Performance</t>
  </si>
  <si>
    <t>Transaction</t>
  </si>
  <si>
    <t>Return (Period)</t>
  </si>
  <si>
    <t>Return (YTD)</t>
  </si>
  <si>
    <t>YTD Performance (Daily)</t>
  </si>
  <si>
    <t>YTD Performance (Month)</t>
  </si>
  <si>
    <t>Total Assets</t>
  </si>
  <si>
    <t>Return (Mo)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</si>
</sst>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6" xfId="0" applyBorder="1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YTD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Sheet1!$O$21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Sheet1!$N$22:$N$25</c:f>
            </c:strRef>
          </c:cat>
          <c:val>
            <c:numRef>
              <c:f>Sheet1!$O$22:$O$25</c:f>
              <c:numCache/>
            </c:numRef>
          </c:val>
          <c:smooth val="1"/>
        </c:ser>
        <c:ser>
          <c:idx val="1"/>
          <c:order val="1"/>
          <c:tx>
            <c:strRef>
              <c:f>Sheet1!$P$21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Sheet1!$N$22:$N$25</c:f>
            </c:strRef>
          </c:cat>
          <c:val>
            <c:numRef>
              <c:f>Sheet1!$P$22:$P$25</c:f>
              <c:numCache/>
            </c:numRef>
          </c:val>
          <c:smooth val="1"/>
        </c:ser>
        <c:axId val="1431980993"/>
        <c:axId val="638495565"/>
      </c:lineChart>
      <c:catAx>
        <c:axId val="1431980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495565"/>
      </c:catAx>
      <c:valAx>
        <c:axId val="6384955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980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Sheet1!$U$20:$U$22</c:f>
            </c:strRef>
          </c:cat>
          <c:val>
            <c:numRef>
              <c:f>Sheet1!$V$20:$V$22</c:f>
              <c:numCache/>
            </c:numRef>
          </c:val>
        </c:ser>
        <c:axId val="680399305"/>
        <c:axId val="960420178"/>
      </c:barChart>
      <c:catAx>
        <c:axId val="6803993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420178"/>
      </c:catAx>
      <c:valAx>
        <c:axId val="96042017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3993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26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142875</xdr:colOff>
      <xdr:row>26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63"/>
  </cols>
  <sheetData>
    <row r="1">
      <c r="A1" s="1" t="s">
        <v>0</v>
      </c>
    </row>
    <row r="2">
      <c r="O2" s="1" t="s">
        <v>1</v>
      </c>
    </row>
    <row r="3">
      <c r="A3" s="1" t="s">
        <v>2</v>
      </c>
      <c r="F3" s="1" t="s">
        <v>3</v>
      </c>
      <c r="K3" s="1" t="s">
        <v>4</v>
      </c>
      <c r="O3" s="1" t="s">
        <v>5</v>
      </c>
    </row>
    <row r="4">
      <c r="A4" s="1" t="s">
        <v>6</v>
      </c>
      <c r="B4" s="1" t="s">
        <v>7</v>
      </c>
      <c r="C4" s="1" t="s">
        <v>8</v>
      </c>
      <c r="F4" s="1" t="s">
        <v>6</v>
      </c>
      <c r="G4" s="1" t="s">
        <v>7</v>
      </c>
      <c r="H4" s="1" t="s">
        <v>9</v>
      </c>
      <c r="I4" s="1" t="s">
        <v>10</v>
      </c>
      <c r="K4" s="1" t="s">
        <v>6</v>
      </c>
      <c r="L4" s="1" t="s">
        <v>9</v>
      </c>
      <c r="M4" s="1" t="s">
        <v>10</v>
      </c>
      <c r="O4" s="1" t="s">
        <v>11</v>
      </c>
      <c r="P4" s="2">
        <f>C8-C5-H5</f>
        <v>4220</v>
      </c>
    </row>
    <row r="5">
      <c r="A5" s="3">
        <v>45657.0</v>
      </c>
      <c r="B5" s="1" t="s">
        <v>11</v>
      </c>
      <c r="C5" s="1">
        <v>100000.0</v>
      </c>
      <c r="F5" s="3">
        <v>45731.0</v>
      </c>
      <c r="G5" s="1" t="s">
        <v>11</v>
      </c>
      <c r="H5" s="4">
        <v>10000.0</v>
      </c>
      <c r="I5" s="2">
        <f>(A24-F5)/(A24-A23)*H5</f>
        <v>3947.368421</v>
      </c>
      <c r="K5" s="3">
        <v>45702.0</v>
      </c>
      <c r="L5" s="1">
        <v>300.0</v>
      </c>
      <c r="M5" s="5">
        <f>(K5-A22)/(A23-A22)*L5</f>
        <v>221.7391304</v>
      </c>
      <c r="O5" s="1" t="s">
        <v>12</v>
      </c>
      <c r="P5" s="2">
        <f>C12-C9-H6</f>
        <v>2000</v>
      </c>
    </row>
    <row r="6">
      <c r="A6" s="3">
        <v>45685.0</v>
      </c>
      <c r="B6" s="1" t="s">
        <v>11</v>
      </c>
      <c r="C6" s="1">
        <v>105380.0</v>
      </c>
      <c r="F6" s="3">
        <v>45731.0</v>
      </c>
      <c r="G6" s="1" t="s">
        <v>12</v>
      </c>
      <c r="H6" s="1">
        <v>-5000.0</v>
      </c>
      <c r="I6" s="2">
        <f>(A31-F6)/(A31-A30)*H6</f>
        <v>-2500</v>
      </c>
      <c r="K6" s="3">
        <v>45703.0</v>
      </c>
      <c r="L6" s="1">
        <v>560.0</v>
      </c>
      <c r="M6" s="5">
        <f>(K6-A22)/(A23-A22)*L6</f>
        <v>438.2608696</v>
      </c>
      <c r="O6" s="1" t="s">
        <v>13</v>
      </c>
      <c r="P6" s="2">
        <f>SUM(P4:P5)</f>
        <v>6220</v>
      </c>
    </row>
    <row r="7">
      <c r="A7" s="3">
        <v>45708.0</v>
      </c>
      <c r="B7" s="1" t="s">
        <v>11</v>
      </c>
      <c r="C7" s="1">
        <v>105380.0</v>
      </c>
    </row>
    <row r="8">
      <c r="A8" s="3">
        <v>45746.0</v>
      </c>
      <c r="B8" s="1" t="s">
        <v>11</v>
      </c>
      <c r="C8" s="6">
        <v>114220.0</v>
      </c>
      <c r="O8" s="1" t="s">
        <v>14</v>
      </c>
    </row>
    <row r="9">
      <c r="A9" s="3">
        <v>45657.0</v>
      </c>
      <c r="B9" s="1" t="s">
        <v>12</v>
      </c>
      <c r="C9" s="1">
        <v>50000.0</v>
      </c>
      <c r="O9" s="1" t="s">
        <v>15</v>
      </c>
      <c r="P9" s="6">
        <f>C5+C9</f>
        <v>150000</v>
      </c>
    </row>
    <row r="10">
      <c r="A10" s="3">
        <v>45677.0</v>
      </c>
      <c r="B10" s="1" t="s">
        <v>12</v>
      </c>
      <c r="C10" s="1">
        <v>50750.0</v>
      </c>
      <c r="O10" s="1" t="s">
        <v>16</v>
      </c>
      <c r="P10" s="6">
        <f>C8+C12</f>
        <v>161220</v>
      </c>
    </row>
    <row r="11">
      <c r="A11" s="3">
        <v>45715.0</v>
      </c>
      <c r="B11" s="1" t="s">
        <v>12</v>
      </c>
      <c r="C11" s="1">
        <v>51153.0</v>
      </c>
      <c r="O11" s="1" t="s">
        <v>17</v>
      </c>
      <c r="P11" s="2">
        <f>P6</f>
        <v>6220</v>
      </c>
    </row>
    <row r="12">
      <c r="A12" s="3">
        <v>45747.0</v>
      </c>
      <c r="B12" s="1" t="s">
        <v>12</v>
      </c>
      <c r="C12" s="6">
        <f>47000</f>
        <v>47000</v>
      </c>
      <c r="O12" s="1" t="s">
        <v>9</v>
      </c>
      <c r="P12" s="2">
        <f>P10-P9-P11</f>
        <v>5000</v>
      </c>
    </row>
    <row r="13">
      <c r="O13" s="1" t="s">
        <v>18</v>
      </c>
      <c r="P13" s="7">
        <f>(P10-P9-P12)/(P9+P12/2)</f>
        <v>0.04078688525</v>
      </c>
    </row>
    <row r="18">
      <c r="A18" s="1" t="s">
        <v>19</v>
      </c>
    </row>
    <row r="19">
      <c r="A19" s="1" t="s">
        <v>11</v>
      </c>
      <c r="R19" s="1" t="s">
        <v>20</v>
      </c>
    </row>
    <row r="20">
      <c r="A20" s="1" t="s">
        <v>6</v>
      </c>
      <c r="B20" s="1" t="s">
        <v>8</v>
      </c>
      <c r="C20" s="1" t="s">
        <v>21</v>
      </c>
      <c r="D20" s="1" t="s">
        <v>17</v>
      </c>
      <c r="E20" s="1" t="s">
        <v>10</v>
      </c>
      <c r="F20" s="1" t="s">
        <v>22</v>
      </c>
      <c r="G20" s="1" t="s">
        <v>23</v>
      </c>
      <c r="J20" s="1" t="s">
        <v>24</v>
      </c>
      <c r="N20" s="1" t="s">
        <v>25</v>
      </c>
      <c r="R20" s="1" t="s">
        <v>11</v>
      </c>
      <c r="S20" s="7">
        <f>O25</f>
        <v>0.05118120671</v>
      </c>
      <c r="U20" s="1" t="s">
        <v>11</v>
      </c>
      <c r="V20" s="7">
        <f>S20</f>
        <v>0.05118120671</v>
      </c>
    </row>
    <row r="21">
      <c r="A21" s="8">
        <f t="shared" ref="A21:A24" si="1">A5</f>
        <v>45657</v>
      </c>
      <c r="B21" s="2">
        <f t="shared" ref="B21:B23" si="2">C5</f>
        <v>100000</v>
      </c>
      <c r="G21" s="9">
        <v>0.0</v>
      </c>
      <c r="J21" s="1" t="s">
        <v>6</v>
      </c>
      <c r="K21" s="1" t="s">
        <v>11</v>
      </c>
      <c r="L21" s="1" t="s">
        <v>12</v>
      </c>
      <c r="N21" s="1" t="s">
        <v>6</v>
      </c>
      <c r="O21" s="1" t="s">
        <v>11</v>
      </c>
      <c r="P21" s="1" t="s">
        <v>12</v>
      </c>
      <c r="R21" s="1" t="s">
        <v>12</v>
      </c>
      <c r="S21" s="7">
        <f>P25</f>
        <v>0.02306</v>
      </c>
      <c r="U21" s="10" t="s">
        <v>26</v>
      </c>
      <c r="V21" s="7">
        <f>S22</f>
        <v>0.04078688525</v>
      </c>
    </row>
    <row r="22">
      <c r="A22" s="8">
        <f t="shared" si="1"/>
        <v>45685</v>
      </c>
      <c r="B22" s="2">
        <f t="shared" si="2"/>
        <v>105380</v>
      </c>
      <c r="F22" s="7">
        <f t="shared" ref="F22:F24" si="4">(B22-B21-C22-D22)/(B21+E22)</f>
        <v>0.0538</v>
      </c>
      <c r="G22" s="7">
        <f t="shared" ref="G22:G24" si="5">(1+G21)*(1+F22)-1</f>
        <v>0.0538</v>
      </c>
      <c r="J22" s="3">
        <v>45657.0</v>
      </c>
      <c r="K22" s="7">
        <f>G21</f>
        <v>0</v>
      </c>
      <c r="L22" s="7">
        <f>G28</f>
        <v>0</v>
      </c>
      <c r="N22" s="3">
        <v>45657.0</v>
      </c>
      <c r="O22" s="7">
        <f t="shared" ref="O22:O25" si="6">VLOOKUP(N22,$J$22:$K$112,2,0)</f>
        <v>0</v>
      </c>
      <c r="P22" s="7">
        <f t="shared" ref="P22:P25" si="7">VLOOKUP(O22,$K$22:$L$112,2,0)</f>
        <v>0</v>
      </c>
      <c r="R22" s="10" t="s">
        <v>26</v>
      </c>
      <c r="S22" s="11">
        <f>P13</f>
        <v>0.04078688525</v>
      </c>
      <c r="U22" s="1" t="s">
        <v>12</v>
      </c>
      <c r="V22" s="7">
        <f>S21</f>
        <v>0.02306</v>
      </c>
    </row>
    <row r="23">
      <c r="A23" s="8">
        <f t="shared" si="1"/>
        <v>45708</v>
      </c>
      <c r="B23" s="2">
        <f t="shared" si="2"/>
        <v>105380</v>
      </c>
      <c r="D23" s="6">
        <f t="shared" ref="D23:E23" si="3">-SUM(L5:L6)</f>
        <v>-860</v>
      </c>
      <c r="E23" s="5">
        <f t="shared" si="3"/>
        <v>-660</v>
      </c>
      <c r="F23" s="7">
        <f t="shared" si="4"/>
        <v>0.008212375859</v>
      </c>
      <c r="G23" s="7">
        <f t="shared" si="5"/>
        <v>0.06245420168</v>
      </c>
      <c r="J23" s="8">
        <f t="shared" ref="J23:J112" si="8">J22+1</f>
        <v>45658</v>
      </c>
      <c r="K23" s="7">
        <f t="shared" ref="K23:K112" si="9">IFERROR(VLOOKUP(J23,$A$20:$G$24,7,0),K22)</f>
        <v>0</v>
      </c>
      <c r="L23" s="7">
        <f t="shared" ref="L23:L112" si="10">IFERROR(VLOOKUP(J23,$A$28:$G$31,7,0),L22)</f>
        <v>0</v>
      </c>
      <c r="N23" s="12">
        <f t="shared" ref="N23:N25" si="11">EOMONTH(N22,1)</f>
        <v>45688</v>
      </c>
      <c r="O23" s="7">
        <f t="shared" si="6"/>
        <v>0.0538</v>
      </c>
      <c r="P23" s="7">
        <f t="shared" si="7"/>
        <v>0.015</v>
      </c>
    </row>
    <row r="24">
      <c r="A24" s="8">
        <f t="shared" si="1"/>
        <v>45746</v>
      </c>
      <c r="B24" s="2">
        <v>114220.0</v>
      </c>
      <c r="C24" s="2">
        <f>H5</f>
        <v>10000</v>
      </c>
      <c r="E24" s="2">
        <f>I5</f>
        <v>3947.368421</v>
      </c>
      <c r="F24" s="7">
        <f t="shared" si="4"/>
        <v>-0.01061033497</v>
      </c>
      <c r="G24" s="7">
        <f t="shared" si="5"/>
        <v>0.05118120671</v>
      </c>
      <c r="J24" s="8">
        <f t="shared" si="8"/>
        <v>45659</v>
      </c>
      <c r="K24" s="7">
        <f t="shared" si="9"/>
        <v>0</v>
      </c>
      <c r="L24" s="7">
        <f t="shared" si="10"/>
        <v>0</v>
      </c>
      <c r="N24" s="12">
        <f t="shared" si="11"/>
        <v>45716</v>
      </c>
      <c r="O24" s="7">
        <f t="shared" si="6"/>
        <v>0.06245420168</v>
      </c>
      <c r="P24" s="7">
        <f t="shared" si="7"/>
        <v>0.015</v>
      </c>
    </row>
    <row r="25">
      <c r="J25" s="8">
        <f t="shared" si="8"/>
        <v>45660</v>
      </c>
      <c r="K25" s="7">
        <f t="shared" si="9"/>
        <v>0</v>
      </c>
      <c r="L25" s="7">
        <f t="shared" si="10"/>
        <v>0</v>
      </c>
      <c r="N25" s="12">
        <f t="shared" si="11"/>
        <v>45747</v>
      </c>
      <c r="O25" s="7">
        <f t="shared" si="6"/>
        <v>0.05118120671</v>
      </c>
      <c r="P25" s="7">
        <f t="shared" si="7"/>
        <v>0.02306</v>
      </c>
    </row>
    <row r="26">
      <c r="A26" s="1" t="s">
        <v>12</v>
      </c>
      <c r="J26" s="8">
        <f t="shared" si="8"/>
        <v>45661</v>
      </c>
      <c r="K26" s="7">
        <f t="shared" si="9"/>
        <v>0</v>
      </c>
      <c r="L26" s="7">
        <f t="shared" si="10"/>
        <v>0</v>
      </c>
    </row>
    <row r="27">
      <c r="A27" s="1" t="s">
        <v>6</v>
      </c>
      <c r="B27" s="1" t="s">
        <v>8</v>
      </c>
      <c r="C27" s="1" t="s">
        <v>21</v>
      </c>
      <c r="D27" s="1" t="s">
        <v>17</v>
      </c>
      <c r="E27" s="1" t="s">
        <v>10</v>
      </c>
      <c r="F27" s="1" t="s">
        <v>27</v>
      </c>
      <c r="G27" s="1" t="s">
        <v>23</v>
      </c>
      <c r="J27" s="8">
        <f t="shared" si="8"/>
        <v>45662</v>
      </c>
      <c r="K27" s="7">
        <f t="shared" si="9"/>
        <v>0</v>
      </c>
      <c r="L27" s="7">
        <f t="shared" si="10"/>
        <v>0</v>
      </c>
    </row>
    <row r="28">
      <c r="A28" s="8">
        <f t="shared" ref="A28:A31" si="12">A9</f>
        <v>45657</v>
      </c>
      <c r="B28" s="6">
        <f t="shared" ref="B28:B31" si="13">C9</f>
        <v>50000</v>
      </c>
      <c r="G28" s="9">
        <v>0.0</v>
      </c>
      <c r="J28" s="8">
        <f t="shared" si="8"/>
        <v>45663</v>
      </c>
      <c r="K28" s="7">
        <f t="shared" si="9"/>
        <v>0</v>
      </c>
      <c r="L28" s="7">
        <f t="shared" si="10"/>
        <v>0</v>
      </c>
    </row>
    <row r="29">
      <c r="A29" s="8">
        <f t="shared" si="12"/>
        <v>45677</v>
      </c>
      <c r="B29" s="6">
        <f t="shared" si="13"/>
        <v>50750</v>
      </c>
      <c r="F29" s="7">
        <f t="shared" ref="F29:F31" si="14">(B29-B28-C29-D29)/(B28+E29)</f>
        <v>0.015</v>
      </c>
      <c r="G29" s="7">
        <f t="shared" ref="G29:G31" si="15">(1+G28)*(1+F29)-1</f>
        <v>0.015</v>
      </c>
      <c r="J29" s="8">
        <f t="shared" si="8"/>
        <v>45664</v>
      </c>
      <c r="K29" s="7">
        <f t="shared" si="9"/>
        <v>0</v>
      </c>
      <c r="L29" s="7">
        <f t="shared" si="10"/>
        <v>0</v>
      </c>
    </row>
    <row r="30">
      <c r="A30" s="8">
        <f t="shared" si="12"/>
        <v>45715</v>
      </c>
      <c r="B30" s="6">
        <f t="shared" si="13"/>
        <v>51153</v>
      </c>
      <c r="F30" s="7">
        <f t="shared" si="14"/>
        <v>0.0079408867</v>
      </c>
      <c r="G30" s="7">
        <f t="shared" si="15"/>
        <v>0.02306</v>
      </c>
      <c r="J30" s="8">
        <f t="shared" si="8"/>
        <v>45665</v>
      </c>
      <c r="K30" s="7">
        <f t="shared" si="9"/>
        <v>0</v>
      </c>
      <c r="L30" s="7">
        <f t="shared" si="10"/>
        <v>0</v>
      </c>
    </row>
    <row r="31">
      <c r="A31" s="8">
        <f t="shared" si="12"/>
        <v>45747</v>
      </c>
      <c r="B31" s="6">
        <f t="shared" si="13"/>
        <v>47000</v>
      </c>
      <c r="C31" s="6">
        <f>H6</f>
        <v>-5000</v>
      </c>
      <c r="E31" s="2">
        <f>I6</f>
        <v>-2500</v>
      </c>
      <c r="F31" s="7">
        <f t="shared" si="14"/>
        <v>0.01740899842</v>
      </c>
      <c r="G31" s="7">
        <f t="shared" si="15"/>
        <v>0.04087044992</v>
      </c>
      <c r="J31" s="8">
        <f t="shared" si="8"/>
        <v>45666</v>
      </c>
      <c r="K31" s="7">
        <f t="shared" si="9"/>
        <v>0</v>
      </c>
      <c r="L31" s="7">
        <f t="shared" si="10"/>
        <v>0</v>
      </c>
    </row>
    <row r="32">
      <c r="J32" s="8">
        <f t="shared" si="8"/>
        <v>45667</v>
      </c>
      <c r="K32" s="7">
        <f t="shared" si="9"/>
        <v>0</v>
      </c>
      <c r="L32" s="7">
        <f t="shared" si="10"/>
        <v>0</v>
      </c>
    </row>
    <row r="33">
      <c r="J33" s="8">
        <f t="shared" si="8"/>
        <v>45668</v>
      </c>
      <c r="K33" s="7">
        <f t="shared" si="9"/>
        <v>0</v>
      </c>
      <c r="L33" s="7">
        <f t="shared" si="10"/>
        <v>0</v>
      </c>
    </row>
    <row r="34">
      <c r="J34" s="8">
        <f t="shared" si="8"/>
        <v>45669</v>
      </c>
      <c r="K34" s="7">
        <f t="shared" si="9"/>
        <v>0</v>
      </c>
      <c r="L34" s="7">
        <f t="shared" si="10"/>
        <v>0</v>
      </c>
    </row>
    <row r="35">
      <c r="J35" s="8">
        <f t="shared" si="8"/>
        <v>45670</v>
      </c>
      <c r="K35" s="7">
        <f t="shared" si="9"/>
        <v>0</v>
      </c>
      <c r="L35" s="7">
        <f t="shared" si="10"/>
        <v>0</v>
      </c>
    </row>
    <row r="36">
      <c r="J36" s="8">
        <f t="shared" si="8"/>
        <v>45671</v>
      </c>
      <c r="K36" s="7">
        <f t="shared" si="9"/>
        <v>0</v>
      </c>
      <c r="L36" s="7">
        <f t="shared" si="10"/>
        <v>0</v>
      </c>
    </row>
    <row r="37">
      <c r="J37" s="8">
        <f t="shared" si="8"/>
        <v>45672</v>
      </c>
      <c r="K37" s="7">
        <f t="shared" si="9"/>
        <v>0</v>
      </c>
      <c r="L37" s="7">
        <f t="shared" si="10"/>
        <v>0</v>
      </c>
    </row>
    <row r="38">
      <c r="J38" s="8">
        <f t="shared" si="8"/>
        <v>45673</v>
      </c>
      <c r="K38" s="7">
        <f t="shared" si="9"/>
        <v>0</v>
      </c>
      <c r="L38" s="7">
        <f t="shared" si="10"/>
        <v>0</v>
      </c>
    </row>
    <row r="39">
      <c r="J39" s="8">
        <f t="shared" si="8"/>
        <v>45674</v>
      </c>
      <c r="K39" s="7">
        <f t="shared" si="9"/>
        <v>0</v>
      </c>
      <c r="L39" s="7">
        <f t="shared" si="10"/>
        <v>0</v>
      </c>
    </row>
    <row r="40">
      <c r="J40" s="8">
        <f t="shared" si="8"/>
        <v>45675</v>
      </c>
      <c r="K40" s="7">
        <f t="shared" si="9"/>
        <v>0</v>
      </c>
      <c r="L40" s="7">
        <f t="shared" si="10"/>
        <v>0</v>
      </c>
    </row>
    <row r="41">
      <c r="J41" s="8">
        <f t="shared" si="8"/>
        <v>45676</v>
      </c>
      <c r="K41" s="7">
        <f t="shared" si="9"/>
        <v>0</v>
      </c>
      <c r="L41" s="7">
        <f t="shared" si="10"/>
        <v>0</v>
      </c>
    </row>
    <row r="42">
      <c r="J42" s="8">
        <f t="shared" si="8"/>
        <v>45677</v>
      </c>
      <c r="K42" s="7">
        <f t="shared" si="9"/>
        <v>0</v>
      </c>
      <c r="L42" s="7">
        <f t="shared" si="10"/>
        <v>0.015</v>
      </c>
    </row>
    <row r="43">
      <c r="J43" s="8">
        <f t="shared" si="8"/>
        <v>45678</v>
      </c>
      <c r="K43" s="7">
        <f t="shared" si="9"/>
        <v>0</v>
      </c>
      <c r="L43" s="7">
        <f t="shared" si="10"/>
        <v>0.015</v>
      </c>
    </row>
    <row r="44">
      <c r="J44" s="8">
        <f t="shared" si="8"/>
        <v>45679</v>
      </c>
      <c r="K44" s="7">
        <f t="shared" si="9"/>
        <v>0</v>
      </c>
      <c r="L44" s="7">
        <f t="shared" si="10"/>
        <v>0.015</v>
      </c>
    </row>
    <row r="45">
      <c r="J45" s="8">
        <f t="shared" si="8"/>
        <v>45680</v>
      </c>
      <c r="K45" s="7">
        <f t="shared" si="9"/>
        <v>0</v>
      </c>
      <c r="L45" s="7">
        <f t="shared" si="10"/>
        <v>0.015</v>
      </c>
    </row>
    <row r="46">
      <c r="J46" s="8">
        <f t="shared" si="8"/>
        <v>45681</v>
      </c>
      <c r="K46" s="7">
        <f t="shared" si="9"/>
        <v>0</v>
      </c>
      <c r="L46" s="7">
        <f t="shared" si="10"/>
        <v>0.015</v>
      </c>
    </row>
    <row r="47">
      <c r="J47" s="8">
        <f t="shared" si="8"/>
        <v>45682</v>
      </c>
      <c r="K47" s="7">
        <f t="shared" si="9"/>
        <v>0</v>
      </c>
      <c r="L47" s="7">
        <f t="shared" si="10"/>
        <v>0.015</v>
      </c>
    </row>
    <row r="48">
      <c r="J48" s="8">
        <f t="shared" si="8"/>
        <v>45683</v>
      </c>
      <c r="K48" s="7">
        <f t="shared" si="9"/>
        <v>0</v>
      </c>
      <c r="L48" s="7">
        <f t="shared" si="10"/>
        <v>0.015</v>
      </c>
    </row>
    <row r="49">
      <c r="J49" s="8">
        <f t="shared" si="8"/>
        <v>45684</v>
      </c>
      <c r="K49" s="7">
        <f t="shared" si="9"/>
        <v>0</v>
      </c>
      <c r="L49" s="7">
        <f t="shared" si="10"/>
        <v>0.015</v>
      </c>
    </row>
    <row r="50">
      <c r="J50" s="8">
        <f t="shared" si="8"/>
        <v>45685</v>
      </c>
      <c r="K50" s="7">
        <f t="shared" si="9"/>
        <v>0.0538</v>
      </c>
      <c r="L50" s="7">
        <f t="shared" si="10"/>
        <v>0.015</v>
      </c>
    </row>
    <row r="51">
      <c r="J51" s="8">
        <f t="shared" si="8"/>
        <v>45686</v>
      </c>
      <c r="K51" s="7">
        <f t="shared" si="9"/>
        <v>0.0538</v>
      </c>
      <c r="L51" s="7">
        <f t="shared" si="10"/>
        <v>0.015</v>
      </c>
    </row>
    <row r="52">
      <c r="J52" s="8">
        <f t="shared" si="8"/>
        <v>45687</v>
      </c>
      <c r="K52" s="7">
        <f t="shared" si="9"/>
        <v>0.0538</v>
      </c>
      <c r="L52" s="7">
        <f t="shared" si="10"/>
        <v>0.015</v>
      </c>
    </row>
    <row r="53">
      <c r="J53" s="8">
        <f t="shared" si="8"/>
        <v>45688</v>
      </c>
      <c r="K53" s="7">
        <f t="shared" si="9"/>
        <v>0.0538</v>
      </c>
      <c r="L53" s="7">
        <f t="shared" si="10"/>
        <v>0.015</v>
      </c>
    </row>
    <row r="54">
      <c r="J54" s="8">
        <f t="shared" si="8"/>
        <v>45689</v>
      </c>
      <c r="K54" s="7">
        <f t="shared" si="9"/>
        <v>0.0538</v>
      </c>
      <c r="L54" s="7">
        <f t="shared" si="10"/>
        <v>0.015</v>
      </c>
    </row>
    <row r="55">
      <c r="J55" s="8">
        <f t="shared" si="8"/>
        <v>45690</v>
      </c>
      <c r="K55" s="7">
        <f t="shared" si="9"/>
        <v>0.0538</v>
      </c>
      <c r="L55" s="7">
        <f t="shared" si="10"/>
        <v>0.015</v>
      </c>
    </row>
    <row r="56">
      <c r="J56" s="8">
        <f t="shared" si="8"/>
        <v>45691</v>
      </c>
      <c r="K56" s="7">
        <f t="shared" si="9"/>
        <v>0.0538</v>
      </c>
      <c r="L56" s="7">
        <f t="shared" si="10"/>
        <v>0.015</v>
      </c>
    </row>
    <row r="57">
      <c r="J57" s="8">
        <f t="shared" si="8"/>
        <v>45692</v>
      </c>
      <c r="K57" s="7">
        <f t="shared" si="9"/>
        <v>0.0538</v>
      </c>
      <c r="L57" s="7">
        <f t="shared" si="10"/>
        <v>0.015</v>
      </c>
    </row>
    <row r="58">
      <c r="J58" s="8">
        <f t="shared" si="8"/>
        <v>45693</v>
      </c>
      <c r="K58" s="7">
        <f t="shared" si="9"/>
        <v>0.0538</v>
      </c>
      <c r="L58" s="7">
        <f t="shared" si="10"/>
        <v>0.015</v>
      </c>
    </row>
    <row r="59">
      <c r="J59" s="8">
        <f t="shared" si="8"/>
        <v>45694</v>
      </c>
      <c r="K59" s="7">
        <f t="shared" si="9"/>
        <v>0.0538</v>
      </c>
      <c r="L59" s="7">
        <f t="shared" si="10"/>
        <v>0.015</v>
      </c>
    </row>
    <row r="60">
      <c r="J60" s="8">
        <f t="shared" si="8"/>
        <v>45695</v>
      </c>
      <c r="K60" s="7">
        <f t="shared" si="9"/>
        <v>0.0538</v>
      </c>
      <c r="L60" s="7">
        <f t="shared" si="10"/>
        <v>0.015</v>
      </c>
    </row>
    <row r="61">
      <c r="J61" s="8">
        <f t="shared" si="8"/>
        <v>45696</v>
      </c>
      <c r="K61" s="7">
        <f t="shared" si="9"/>
        <v>0.0538</v>
      </c>
      <c r="L61" s="7">
        <f t="shared" si="10"/>
        <v>0.015</v>
      </c>
    </row>
    <row r="62">
      <c r="J62" s="8">
        <f t="shared" si="8"/>
        <v>45697</v>
      </c>
      <c r="K62" s="7">
        <f t="shared" si="9"/>
        <v>0.0538</v>
      </c>
      <c r="L62" s="7">
        <f t="shared" si="10"/>
        <v>0.015</v>
      </c>
    </row>
    <row r="63">
      <c r="J63" s="8">
        <f t="shared" si="8"/>
        <v>45698</v>
      </c>
      <c r="K63" s="7">
        <f t="shared" si="9"/>
        <v>0.0538</v>
      </c>
      <c r="L63" s="7">
        <f t="shared" si="10"/>
        <v>0.015</v>
      </c>
    </row>
    <row r="64">
      <c r="J64" s="8">
        <f t="shared" si="8"/>
        <v>45699</v>
      </c>
      <c r="K64" s="7">
        <f t="shared" si="9"/>
        <v>0.0538</v>
      </c>
      <c r="L64" s="7">
        <f t="shared" si="10"/>
        <v>0.015</v>
      </c>
    </row>
    <row r="65">
      <c r="J65" s="8">
        <f t="shared" si="8"/>
        <v>45700</v>
      </c>
      <c r="K65" s="7">
        <f t="shared" si="9"/>
        <v>0.0538</v>
      </c>
      <c r="L65" s="7">
        <f t="shared" si="10"/>
        <v>0.015</v>
      </c>
    </row>
    <row r="66">
      <c r="J66" s="8">
        <f t="shared" si="8"/>
        <v>45701</v>
      </c>
      <c r="K66" s="7">
        <f t="shared" si="9"/>
        <v>0.0538</v>
      </c>
      <c r="L66" s="7">
        <f t="shared" si="10"/>
        <v>0.015</v>
      </c>
    </row>
    <row r="67">
      <c r="J67" s="8">
        <f t="shared" si="8"/>
        <v>45702</v>
      </c>
      <c r="K67" s="7">
        <f t="shared" si="9"/>
        <v>0.0538</v>
      </c>
      <c r="L67" s="7">
        <f t="shared" si="10"/>
        <v>0.015</v>
      </c>
    </row>
    <row r="68">
      <c r="J68" s="8">
        <f t="shared" si="8"/>
        <v>45703</v>
      </c>
      <c r="K68" s="7">
        <f t="shared" si="9"/>
        <v>0.0538</v>
      </c>
      <c r="L68" s="7">
        <f t="shared" si="10"/>
        <v>0.015</v>
      </c>
    </row>
    <row r="69">
      <c r="J69" s="8">
        <f t="shared" si="8"/>
        <v>45704</v>
      </c>
      <c r="K69" s="7">
        <f t="shared" si="9"/>
        <v>0.0538</v>
      </c>
      <c r="L69" s="7">
        <f t="shared" si="10"/>
        <v>0.015</v>
      </c>
    </row>
    <row r="70">
      <c r="J70" s="8">
        <f t="shared" si="8"/>
        <v>45705</v>
      </c>
      <c r="K70" s="7">
        <f t="shared" si="9"/>
        <v>0.0538</v>
      </c>
      <c r="L70" s="7">
        <f t="shared" si="10"/>
        <v>0.015</v>
      </c>
    </row>
    <row r="71">
      <c r="J71" s="8">
        <f t="shared" si="8"/>
        <v>45706</v>
      </c>
      <c r="K71" s="7">
        <f t="shared" si="9"/>
        <v>0.0538</v>
      </c>
      <c r="L71" s="7">
        <f t="shared" si="10"/>
        <v>0.015</v>
      </c>
    </row>
    <row r="72">
      <c r="J72" s="8">
        <f t="shared" si="8"/>
        <v>45707</v>
      </c>
      <c r="K72" s="7">
        <f t="shared" si="9"/>
        <v>0.0538</v>
      </c>
      <c r="L72" s="7">
        <f t="shared" si="10"/>
        <v>0.015</v>
      </c>
    </row>
    <row r="73">
      <c r="J73" s="8">
        <f t="shared" si="8"/>
        <v>45708</v>
      </c>
      <c r="K73" s="7">
        <f t="shared" si="9"/>
        <v>0.06245420168</v>
      </c>
      <c r="L73" s="7">
        <f t="shared" si="10"/>
        <v>0.015</v>
      </c>
    </row>
    <row r="74">
      <c r="J74" s="8">
        <f t="shared" si="8"/>
        <v>45709</v>
      </c>
      <c r="K74" s="7">
        <f t="shared" si="9"/>
        <v>0.06245420168</v>
      </c>
      <c r="L74" s="7">
        <f t="shared" si="10"/>
        <v>0.015</v>
      </c>
    </row>
    <row r="75">
      <c r="J75" s="8">
        <f t="shared" si="8"/>
        <v>45710</v>
      </c>
      <c r="K75" s="7">
        <f t="shared" si="9"/>
        <v>0.06245420168</v>
      </c>
      <c r="L75" s="7">
        <f t="shared" si="10"/>
        <v>0.015</v>
      </c>
    </row>
    <row r="76">
      <c r="J76" s="8">
        <f t="shared" si="8"/>
        <v>45711</v>
      </c>
      <c r="K76" s="7">
        <f t="shared" si="9"/>
        <v>0.06245420168</v>
      </c>
      <c r="L76" s="7">
        <f t="shared" si="10"/>
        <v>0.015</v>
      </c>
    </row>
    <row r="77">
      <c r="J77" s="8">
        <f t="shared" si="8"/>
        <v>45712</v>
      </c>
      <c r="K77" s="7">
        <f t="shared" si="9"/>
        <v>0.06245420168</v>
      </c>
      <c r="L77" s="7">
        <f t="shared" si="10"/>
        <v>0.015</v>
      </c>
    </row>
    <row r="78">
      <c r="J78" s="8">
        <f t="shared" si="8"/>
        <v>45713</v>
      </c>
      <c r="K78" s="7">
        <f t="shared" si="9"/>
        <v>0.06245420168</v>
      </c>
      <c r="L78" s="7">
        <f t="shared" si="10"/>
        <v>0.015</v>
      </c>
    </row>
    <row r="79">
      <c r="J79" s="8">
        <f t="shared" si="8"/>
        <v>45714</v>
      </c>
      <c r="K79" s="7">
        <f t="shared" si="9"/>
        <v>0.06245420168</v>
      </c>
      <c r="L79" s="7">
        <f t="shared" si="10"/>
        <v>0.015</v>
      </c>
    </row>
    <row r="80">
      <c r="J80" s="8">
        <f t="shared" si="8"/>
        <v>45715</v>
      </c>
      <c r="K80" s="7">
        <f t="shared" si="9"/>
        <v>0.06245420168</v>
      </c>
      <c r="L80" s="7">
        <f t="shared" si="10"/>
        <v>0.02306</v>
      </c>
    </row>
    <row r="81">
      <c r="J81" s="8">
        <f t="shared" si="8"/>
        <v>45716</v>
      </c>
      <c r="K81" s="7">
        <f t="shared" si="9"/>
        <v>0.06245420168</v>
      </c>
      <c r="L81" s="7">
        <f t="shared" si="10"/>
        <v>0.02306</v>
      </c>
    </row>
    <row r="82">
      <c r="J82" s="8">
        <f t="shared" si="8"/>
        <v>45717</v>
      </c>
      <c r="K82" s="7">
        <f t="shared" si="9"/>
        <v>0.06245420168</v>
      </c>
      <c r="L82" s="7">
        <f t="shared" si="10"/>
        <v>0.02306</v>
      </c>
    </row>
    <row r="83">
      <c r="J83" s="8">
        <f t="shared" si="8"/>
        <v>45718</v>
      </c>
      <c r="K83" s="7">
        <f t="shared" si="9"/>
        <v>0.06245420168</v>
      </c>
      <c r="L83" s="7">
        <f t="shared" si="10"/>
        <v>0.02306</v>
      </c>
    </row>
    <row r="84">
      <c r="J84" s="8">
        <f t="shared" si="8"/>
        <v>45719</v>
      </c>
      <c r="K84" s="7">
        <f t="shared" si="9"/>
        <v>0.06245420168</v>
      </c>
      <c r="L84" s="7">
        <f t="shared" si="10"/>
        <v>0.02306</v>
      </c>
    </row>
    <row r="85">
      <c r="J85" s="8">
        <f t="shared" si="8"/>
        <v>45720</v>
      </c>
      <c r="K85" s="7">
        <f t="shared" si="9"/>
        <v>0.06245420168</v>
      </c>
      <c r="L85" s="7">
        <f t="shared" si="10"/>
        <v>0.02306</v>
      </c>
    </row>
    <row r="86">
      <c r="J86" s="8">
        <f t="shared" si="8"/>
        <v>45721</v>
      </c>
      <c r="K86" s="7">
        <f t="shared" si="9"/>
        <v>0.06245420168</v>
      </c>
      <c r="L86" s="7">
        <f t="shared" si="10"/>
        <v>0.02306</v>
      </c>
    </row>
    <row r="87">
      <c r="J87" s="8">
        <f t="shared" si="8"/>
        <v>45722</v>
      </c>
      <c r="K87" s="7">
        <f t="shared" si="9"/>
        <v>0.06245420168</v>
      </c>
      <c r="L87" s="7">
        <f t="shared" si="10"/>
        <v>0.02306</v>
      </c>
    </row>
    <row r="88">
      <c r="J88" s="8">
        <f t="shared" si="8"/>
        <v>45723</v>
      </c>
      <c r="K88" s="7">
        <f t="shared" si="9"/>
        <v>0.06245420168</v>
      </c>
      <c r="L88" s="7">
        <f t="shared" si="10"/>
        <v>0.02306</v>
      </c>
    </row>
    <row r="89">
      <c r="J89" s="8">
        <f t="shared" si="8"/>
        <v>45724</v>
      </c>
      <c r="K89" s="7">
        <f t="shared" si="9"/>
        <v>0.06245420168</v>
      </c>
      <c r="L89" s="7">
        <f t="shared" si="10"/>
        <v>0.02306</v>
      </c>
    </row>
    <row r="90">
      <c r="J90" s="8">
        <f t="shared" si="8"/>
        <v>45725</v>
      </c>
      <c r="K90" s="7">
        <f t="shared" si="9"/>
        <v>0.06245420168</v>
      </c>
      <c r="L90" s="7">
        <f t="shared" si="10"/>
        <v>0.02306</v>
      </c>
    </row>
    <row r="91">
      <c r="J91" s="8">
        <f t="shared" si="8"/>
        <v>45726</v>
      </c>
      <c r="K91" s="7">
        <f t="shared" si="9"/>
        <v>0.06245420168</v>
      </c>
      <c r="L91" s="7">
        <f t="shared" si="10"/>
        <v>0.02306</v>
      </c>
    </row>
    <row r="92">
      <c r="J92" s="8">
        <f t="shared" si="8"/>
        <v>45727</v>
      </c>
      <c r="K92" s="7">
        <f t="shared" si="9"/>
        <v>0.06245420168</v>
      </c>
      <c r="L92" s="7">
        <f t="shared" si="10"/>
        <v>0.02306</v>
      </c>
    </row>
    <row r="93">
      <c r="J93" s="8">
        <f t="shared" si="8"/>
        <v>45728</v>
      </c>
      <c r="K93" s="7">
        <f t="shared" si="9"/>
        <v>0.06245420168</v>
      </c>
      <c r="L93" s="7">
        <f t="shared" si="10"/>
        <v>0.02306</v>
      </c>
    </row>
    <row r="94">
      <c r="J94" s="8">
        <f t="shared" si="8"/>
        <v>45729</v>
      </c>
      <c r="K94" s="7">
        <f t="shared" si="9"/>
        <v>0.06245420168</v>
      </c>
      <c r="L94" s="7">
        <f t="shared" si="10"/>
        <v>0.02306</v>
      </c>
    </row>
    <row r="95">
      <c r="J95" s="8">
        <f t="shared" si="8"/>
        <v>45730</v>
      </c>
      <c r="K95" s="7">
        <f t="shared" si="9"/>
        <v>0.06245420168</v>
      </c>
      <c r="L95" s="7">
        <f t="shared" si="10"/>
        <v>0.02306</v>
      </c>
    </row>
    <row r="96">
      <c r="J96" s="8">
        <f t="shared" si="8"/>
        <v>45731</v>
      </c>
      <c r="K96" s="7">
        <f t="shared" si="9"/>
        <v>0.06245420168</v>
      </c>
      <c r="L96" s="7">
        <f t="shared" si="10"/>
        <v>0.02306</v>
      </c>
    </row>
    <row r="97">
      <c r="J97" s="8">
        <f t="shared" si="8"/>
        <v>45732</v>
      </c>
      <c r="K97" s="7">
        <f t="shared" si="9"/>
        <v>0.06245420168</v>
      </c>
      <c r="L97" s="7">
        <f t="shared" si="10"/>
        <v>0.02306</v>
      </c>
    </row>
    <row r="98">
      <c r="J98" s="8">
        <f t="shared" si="8"/>
        <v>45733</v>
      </c>
      <c r="K98" s="7">
        <f t="shared" si="9"/>
        <v>0.06245420168</v>
      </c>
      <c r="L98" s="7">
        <f t="shared" si="10"/>
        <v>0.02306</v>
      </c>
    </row>
    <row r="99">
      <c r="J99" s="8">
        <f t="shared" si="8"/>
        <v>45734</v>
      </c>
      <c r="K99" s="7">
        <f t="shared" si="9"/>
        <v>0.06245420168</v>
      </c>
      <c r="L99" s="7">
        <f t="shared" si="10"/>
        <v>0.02306</v>
      </c>
    </row>
    <row r="100">
      <c r="J100" s="8">
        <f t="shared" si="8"/>
        <v>45735</v>
      </c>
      <c r="K100" s="7">
        <f t="shared" si="9"/>
        <v>0.06245420168</v>
      </c>
      <c r="L100" s="7">
        <f t="shared" si="10"/>
        <v>0.02306</v>
      </c>
    </row>
    <row r="101">
      <c r="J101" s="8">
        <f t="shared" si="8"/>
        <v>45736</v>
      </c>
      <c r="K101" s="7">
        <f t="shared" si="9"/>
        <v>0.06245420168</v>
      </c>
      <c r="L101" s="7">
        <f t="shared" si="10"/>
        <v>0.02306</v>
      </c>
    </row>
    <row r="102">
      <c r="J102" s="8">
        <f t="shared" si="8"/>
        <v>45737</v>
      </c>
      <c r="K102" s="7">
        <f t="shared" si="9"/>
        <v>0.06245420168</v>
      </c>
      <c r="L102" s="7">
        <f t="shared" si="10"/>
        <v>0.02306</v>
      </c>
    </row>
    <row r="103">
      <c r="J103" s="8">
        <f t="shared" si="8"/>
        <v>45738</v>
      </c>
      <c r="K103" s="7">
        <f t="shared" si="9"/>
        <v>0.06245420168</v>
      </c>
      <c r="L103" s="7">
        <f t="shared" si="10"/>
        <v>0.02306</v>
      </c>
    </row>
    <row r="104">
      <c r="J104" s="8">
        <f t="shared" si="8"/>
        <v>45739</v>
      </c>
      <c r="K104" s="7">
        <f t="shared" si="9"/>
        <v>0.06245420168</v>
      </c>
      <c r="L104" s="7">
        <f t="shared" si="10"/>
        <v>0.02306</v>
      </c>
    </row>
    <row r="105">
      <c r="J105" s="8">
        <f t="shared" si="8"/>
        <v>45740</v>
      </c>
      <c r="K105" s="7">
        <f t="shared" si="9"/>
        <v>0.06245420168</v>
      </c>
      <c r="L105" s="7">
        <f t="shared" si="10"/>
        <v>0.02306</v>
      </c>
    </row>
    <row r="106">
      <c r="J106" s="8">
        <f t="shared" si="8"/>
        <v>45741</v>
      </c>
      <c r="K106" s="7">
        <f t="shared" si="9"/>
        <v>0.06245420168</v>
      </c>
      <c r="L106" s="7">
        <f t="shared" si="10"/>
        <v>0.02306</v>
      </c>
    </row>
    <row r="107">
      <c r="J107" s="8">
        <f t="shared" si="8"/>
        <v>45742</v>
      </c>
      <c r="K107" s="7">
        <f t="shared" si="9"/>
        <v>0.06245420168</v>
      </c>
      <c r="L107" s="7">
        <f t="shared" si="10"/>
        <v>0.02306</v>
      </c>
    </row>
    <row r="108">
      <c r="J108" s="8">
        <f t="shared" si="8"/>
        <v>45743</v>
      </c>
      <c r="K108" s="7">
        <f t="shared" si="9"/>
        <v>0.06245420168</v>
      </c>
      <c r="L108" s="7">
        <f t="shared" si="10"/>
        <v>0.02306</v>
      </c>
    </row>
    <row r="109">
      <c r="J109" s="8">
        <f t="shared" si="8"/>
        <v>45744</v>
      </c>
      <c r="K109" s="7">
        <f t="shared" si="9"/>
        <v>0.06245420168</v>
      </c>
      <c r="L109" s="7">
        <f t="shared" si="10"/>
        <v>0.02306</v>
      </c>
    </row>
    <row r="110">
      <c r="J110" s="8">
        <f t="shared" si="8"/>
        <v>45745</v>
      </c>
      <c r="K110" s="7">
        <f t="shared" si="9"/>
        <v>0.06245420168</v>
      </c>
      <c r="L110" s="7">
        <f t="shared" si="10"/>
        <v>0.02306</v>
      </c>
    </row>
    <row r="111">
      <c r="J111" s="8">
        <f t="shared" si="8"/>
        <v>45746</v>
      </c>
      <c r="K111" s="7">
        <f t="shared" si="9"/>
        <v>0.05118120671</v>
      </c>
      <c r="L111" s="7">
        <f t="shared" si="10"/>
        <v>0.02306</v>
      </c>
    </row>
    <row r="112">
      <c r="J112" s="8">
        <f t="shared" si="8"/>
        <v>45747</v>
      </c>
      <c r="K112" s="7">
        <f t="shared" si="9"/>
        <v>0.05118120671</v>
      </c>
      <c r="L112" s="7">
        <f t="shared" si="10"/>
        <v>0.04087044992</v>
      </c>
    </row>
  </sheetData>
  <drawing r:id="rId1"/>
</worksheet>
</file>